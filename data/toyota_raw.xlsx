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ottob\OneDrive\Documents\Projects\Data Analytics\esg-disclosure-gap-analyzer\data\"/>
    </mc:Choice>
  </mc:AlternateContent>
  <xr:revisionPtr revIDLastSave="0" documentId="13_ncr:1_{E7556B2B-0378-4AE8-95CD-A581A62AFCE5}" xr6:coauthVersionLast="47" xr6:coauthVersionMax="47" xr10:uidLastSave="{00000000-0000-0000-0000-000000000000}"/>
  <bookViews>
    <workbookView xWindow="-90" yWindow="0" windowWidth="17380" windowHeight="13770" firstSheet="2" activeTab="3" xr2:uid="{00000000-000D-0000-FFFF-FFFF00000000}"/>
  </bookViews>
  <sheets>
    <sheet name="README" sheetId="1" r:id="rId1"/>
    <sheet name="fact_emissions" sheetId="2" r:id="rId2"/>
    <sheet name="fact_scope3" sheetId="3" r:id="rId3"/>
    <sheet name="dim_company" sheetId="4" r:id="rId4"/>
    <sheet name="dim_financials" sheetId="5" r:id="rId5"/>
    <sheet name="dim_units" sheetId="6" r:id="rId6"/>
  </sheets>
  <definedNames>
    <definedName name="_xlnm._FilterDatabase" localSheetId="1" hidden="1">fact_emissions!$A$3:$K$15</definedName>
    <definedName name="_xlnm._FilterDatabase" localSheetId="2" hidden="1">fact_scope3!$A$3:$H$48</definedName>
  </definedNames>
  <calcPr calcId="0"/>
</workbook>
</file>

<file path=xl/sharedStrings.xml><?xml version="1.0" encoding="utf-8"?>
<sst xmlns="http://schemas.openxmlformats.org/spreadsheetml/2006/main" count="455" uniqueCount="153">
  <si>
    <t>FIELD</t>
  </si>
  <si>
    <t>DESCRIPTION</t>
  </si>
  <si>
    <t>Project</t>
  </si>
  <si>
    <t>GHG Emissions Benchmarking Dashboard — Portfolio Project 1</t>
  </si>
  <si>
    <t>Company</t>
  </si>
  <si>
    <t>Toyota Motor Corporation</t>
  </si>
  <si>
    <t>Ticker</t>
  </si>
  <si>
    <t>7203.T (Tokyo Stock Exchange)</t>
  </si>
  <si>
    <t>Fiscal Year End</t>
  </si>
  <si>
    <t>March 31</t>
  </si>
  <si>
    <t>Data Currency</t>
  </si>
  <si>
    <t>This workbook covers FY2023, FY2024, FY2025 (FYE March)</t>
  </si>
  <si>
    <t>Source Document</t>
  </si>
  <si>
    <t>Toyota Sustainability Data Book 2025</t>
  </si>
  <si>
    <t>Source URL</t>
  </si>
  <si>
    <t>https://toyota-global.com/sustainability/report/</t>
  </si>
  <si>
    <t>Workbook Version</t>
  </si>
  <si>
    <t>v1.0 — May 2026</t>
  </si>
  <si>
    <t>Prepared By</t>
  </si>
  <si>
    <t>SHEET</t>
  </si>
  <si>
    <t>PURPOSE</t>
  </si>
  <si>
    <t>fact_emissions</t>
  </si>
  <si>
    <t>Raw Scope 1, 2, 3 emissions — transcribed exactly as reported. No unit conversion. No calculation.</t>
  </si>
  <si>
    <t>fact_scope3</t>
  </si>
  <si>
    <t>Scope 3 category-level breakdown — 15 GHG Protocol categories, values as-reported.</t>
  </si>
  <si>
    <t>dim_company</t>
  </si>
  <si>
    <t>Company fundamentals — identifier, classification, report metadata.</t>
  </si>
  <si>
    <t>dim_financials</t>
  </si>
  <si>
    <t>Revenue, employee count, vehicles produced — denominators for intensity calculations.</t>
  </si>
  <si>
    <t>dim_units</t>
  </si>
  <si>
    <t>Unit conversion reference — maps as-reported units to the standard unit (million t-CO₂e).</t>
  </si>
  <si>
    <t>AUDIT TRAIL PRINCIPLE</t>
  </si>
  <si>
    <t>Rule 1</t>
  </si>
  <si>
    <t>All values in fact_emissions and fact_scope3 are transcribed verbatim from the source document.</t>
  </si>
  <si>
    <t>Rule 2</t>
  </si>
  <si>
    <t>Unit conversion is NOT performed in this workbook. It is handled in SQL (see /sql/02_standardize.sql in the GitHub repo).</t>
  </si>
  <si>
    <t>Rule 3</t>
  </si>
  <si>
    <t>Every data point includes a source_page reference traceable to the source PDF.</t>
  </si>
  <si>
    <t>Rule 4</t>
  </si>
  <si>
    <t>Any ambiguity or anomaly in the source data is noted in the notes column of the relevant fact table.</t>
  </si>
  <si>
    <t>Rule 5</t>
  </si>
  <si>
    <t>dim_units records every unit variant observed across all four companies — ensuring consistent SQL joins.</t>
  </si>
  <si>
    <t>IMPORTANT NOTE ON UNITS</t>
  </si>
  <si>
    <t>Toyota reporting unit</t>
  </si>
  <si>
    <t>Standard unit (project)</t>
  </si>
  <si>
    <t>million t-CO₂e (all companies converted to this via dim_units JOIN in SQL)</t>
  </si>
  <si>
    <t>Subaru difference</t>
  </si>
  <si>
    <t>Subaru reports in thousand t-CO₂ — conversion factor 0.001 applied in SQL, not here.</t>
  </si>
  <si>
    <t>FACT TABLE — RAW EMISSIONS  |  Toyota Motor Corporation  |  Values transcribed verbatim from source. No conversions applied.</t>
  </si>
  <si>
    <t>company_id</t>
  </si>
  <si>
    <t>fiscal_year</t>
  </si>
  <si>
    <t>scope</t>
  </si>
  <si>
    <t>value_reported</t>
  </si>
  <si>
    <t>unit_reported</t>
  </si>
  <si>
    <t>boundary_method</t>
  </si>
  <si>
    <t>verification_status</t>
  </si>
  <si>
    <t>source_document</t>
  </si>
  <si>
    <t>source_page</t>
  </si>
  <si>
    <t>notes</t>
  </si>
  <si>
    <t>Fixed: TYT</t>
  </si>
  <si>
    <t>FYE year (2023/2024/2025)</t>
  </si>
  <si>
    <t>See dropdown</t>
  </si>
  <si>
    <t>As printed in report</t>
  </si>
  <si>
    <t>Exact unit string from report</t>
  </si>
  <si>
    <t>Document title</t>
  </si>
  <si>
    <t>Page number</t>
  </si>
  <si>
    <t>Anomalies, caveats, methodology notes</t>
  </si>
  <si>
    <t>TYT</t>
  </si>
  <si>
    <t>Scope 1</t>
  </si>
  <si>
    <t>million t-CO₂e</t>
  </si>
  <si>
    <t>Third-party assured</t>
  </si>
  <si>
    <t>Scope 2 (market-based)</t>
  </si>
  <si>
    <t>Scope 2 (location-based)</t>
  </si>
  <si>
    <t>Not assured</t>
  </si>
  <si>
    <t>Scope 3 Total</t>
  </si>
  <si>
    <t>FACT TABLE — SCOPE 3 CATEGORY DETAIL  |  Toyota Motor Corporation  |  All 15 GHG Protocol categories | Values as-reported</t>
  </si>
  <si>
    <t>category_no</t>
  </si>
  <si>
    <t>category_name</t>
  </si>
  <si>
    <t>disclosed</t>
  </si>
  <si>
    <t>FYE year</t>
  </si>
  <si>
    <t>1–15</t>
  </si>
  <si>
    <t>GHG Protocol category name</t>
  </si>
  <si>
    <t>As-reported</t>
  </si>
  <si>
    <t>Exact unit</t>
  </si>
  <si>
    <t>Yes/No/N/A</t>
  </si>
  <si>
    <t>Boundary notes, methodology caveats</t>
  </si>
  <si>
    <t>Purchased goods and services</t>
  </si>
  <si>
    <t>No</t>
  </si>
  <si>
    <t>Yes</t>
  </si>
  <si>
    <t>Capital goods</t>
  </si>
  <si>
    <t>Fuel- and energy-related activities (not S1/S2)</t>
  </si>
  <si>
    <t>Upstream transportation and distribution</t>
  </si>
  <si>
    <t>Waste generated in operations</t>
  </si>
  <si>
    <t>Business travel</t>
  </si>
  <si>
    <t>Employee commuting</t>
  </si>
  <si>
    <t>Upstream leased assets</t>
  </si>
  <si>
    <t>N/A</t>
  </si>
  <si>
    <t>Downstream transportation and distribution</t>
  </si>
  <si>
    <t>Processing of sold products</t>
  </si>
  <si>
    <t>Use of sold products</t>
  </si>
  <si>
    <t>End-of-life treatment of sold products</t>
  </si>
  <si>
    <t>Downstream leased assets</t>
  </si>
  <si>
    <t>Franchises</t>
  </si>
  <si>
    <t>Investments</t>
  </si>
  <si>
    <t>DIMENSION TABLE — COMPANY PROFILE  |  Static reference data. Update only if company details change.</t>
  </si>
  <si>
    <t>company_name</t>
  </si>
  <si>
    <t>ticker</t>
  </si>
  <si>
    <t>country</t>
  </si>
  <si>
    <t>sector</t>
  </si>
  <si>
    <t>gics_sub_industry</t>
  </si>
  <si>
    <t>fiscal_year_end</t>
  </si>
  <si>
    <t>report_title</t>
  </si>
  <si>
    <t>report_url</t>
  </si>
  <si>
    <t>7203.T</t>
  </si>
  <si>
    <t>Japan</t>
  </si>
  <si>
    <t>Consumer Discretionary</t>
  </si>
  <si>
    <t>Automobile Manufacturers</t>
  </si>
  <si>
    <t>https://global.toyota/en/sustainability/report/sdb/</t>
  </si>
  <si>
    <t>DIMENSION TABLE — FINANCIAL &amp; OPERATIONAL DATA  |  Revenue, employees, vehicles produced — intensity calculation denominators</t>
  </si>
  <si>
    <t>Headcount</t>
  </si>
  <si>
    <t>DIMENSION TABLE — UNIT CONVERSION REFERENCE  |  All conversions applied in SQL (02_standardize.sql), not in Excel</t>
  </si>
  <si>
    <t>unit_standard</t>
  </si>
  <si>
    <t>conversion_factor</t>
  </si>
  <si>
    <t>Toyota standard unit — no conversion needed</t>
  </si>
  <si>
    <t>thousand t-CO₂</t>
  </si>
  <si>
    <t>Subaru reports Scope 1+2 in thousand t — divide by 1000</t>
  </si>
  <si>
    <t>thousand t-CO₂e</t>
  </si>
  <si>
    <t>Variant spelling — same conversion as above</t>
  </si>
  <si>
    <t>t-CO₂e</t>
  </si>
  <si>
    <t>Tonne level — divide by 1,000,000 (unlikely but included for completeness)</t>
  </si>
  <si>
    <t>million t-CO₂</t>
  </si>
  <si>
    <t>CO₂ only vs CO₂e — flag in notes if GWP correction needed</t>
  </si>
  <si>
    <t>kt-CO₂e</t>
  </si>
  <si>
    <t>Kilotonnes — divide by 1000</t>
  </si>
  <si>
    <t>John Patrick Garcia</t>
  </si>
  <si>
    <t>GHG Protocol Corporate Standard; consolidated basis; Energy-related CO2 emissions</t>
  </si>
  <si>
    <t>Third-party assured value; GHG Protocol Corporate Standard; consolidated basis; Energy-related CO2 emissions</t>
  </si>
  <si>
    <t>No location-based figures availalble; calculation method limited to market-based accounting</t>
  </si>
  <si>
    <t>Third-party assured value; GHG Protocol Corporate Standard - Market-based; consolidated basis; Energy-related CO2 emissions</t>
  </si>
  <si>
    <t>Emissions from consolidated companies and customers that are linked to the business activities of consolidated subsidiaries are covered. However, this year’s calculation scope is limited to the automotive sector, which represents the majority of sales. The scope covers all business areas for categories where it is difficult to separate data for each business.</t>
  </si>
  <si>
    <t>Recorded under scope 1 and 2</t>
  </si>
  <si>
    <t>Not Stated</t>
  </si>
  <si>
    <t>No value disclosed</t>
  </si>
  <si>
    <t>Toyota Integrated Report 2025</t>
  </si>
  <si>
    <t>currency</t>
  </si>
  <si>
    <t>JPY</t>
  </si>
  <si>
    <t>metric</t>
  </si>
  <si>
    <t>JPY to USD Exchange Rate</t>
  </si>
  <si>
    <t>Revenue</t>
  </si>
  <si>
    <t>Vehicles sold</t>
  </si>
  <si>
    <t>Toyota Sustainability Data Book 2024</t>
  </si>
  <si>
    <t>Toyota Sustainability Data Book 2023</t>
  </si>
  <si>
    <t>Scope 1 &amp; 2: million t-CO₂ | Scope 3: million t-CO₂e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</si>
</sst>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theme="1"/>
      <name val="Calibri"/>
      <family val="2"/>
      <scheme val="minor"/>
    </font>
    <font>
      <b/>
      <sz val="10"/>
      <color rgb="FFFFFFFF"/>
      <name val="Calibri"/>
    </font>
    <font>
      <sz val="9"/>
      <color rgb="FF1A1A2E"/>
      <name val="Calibri"/>
    </font>
    <font>
      <b/>
      <sz val="9"/>
      <color rgb="FFFFFFFF"/>
      <name val="Calibri"/>
    </font>
    <font>
      <i/>
      <sz val="9"/>
      <color rgb="FF555555"/>
      <name val="Calibri"/>
    </font>
    <font>
      <i/>
      <sz val="9"/>
      <color rgb="FF666666"/>
      <name val="Calibri"/>
    </font>
    <font>
      <sz val="9"/>
      <color rgb="FF1A1A2E"/>
      <name val="Calibri"/>
      <family val="2"/>
    </font>
    <font>
      <b/>
      <sz val="10"/>
      <color rgb="FFFFFFFF"/>
      <name val="Calibri"/>
      <family val="2"/>
    </font>
    <font>
      <i/>
      <sz val="9"/>
      <color rgb="FF666666"/>
      <name val="Calibri"/>
      <family val="2"/>
    </font>
  </fonts>
  <fills count="11">
    <fill>
      <patternFill patternType="none"/>
    </fill>
    <fill>
      <patternFill patternType="gray125"/>
    </fill>
    <fill>
      <patternFill patternType="solid">
        <fgColor rgb="FFE84040"/>
      </patternFill>
    </fill>
    <fill>
      <patternFill patternType="solid">
        <fgColor rgb="FFF5F7FA"/>
      </patternFill>
    </fill>
    <fill>
      <patternFill patternType="solid">
        <fgColor rgb="FFFFFFFF"/>
      </patternFill>
    </fill>
    <fill>
      <patternFill patternType="solid">
        <fgColor rgb="FF2D4A6B"/>
      </patternFill>
    </fill>
    <fill>
      <patternFill patternType="solid">
        <fgColor rgb="FF1A1A2E"/>
      </patternFill>
    </fill>
    <fill>
      <patternFill patternType="solid">
        <fgColor rgb="FFF0F4F8"/>
      </patternFill>
    </fill>
    <fill>
      <patternFill patternType="solid">
        <fgColor rgb="FFE8E8E8"/>
      </patternFill>
    </fill>
    <fill>
      <patternFill patternType="solid">
        <fgColor rgb="FFFFF0E0"/>
      </patternFill>
    </fill>
    <fill>
      <patternFill patternType="solid">
        <fgColor rgb="FF2D6A4F"/>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CCCCCC"/>
      </left>
      <right style="thin">
        <color rgb="FFCCCCCC"/>
      </right>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0" fillId="0" borderId="2" xfId="0" applyBorder="1"/>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5" fillId="8" borderId="1" xfId="0" applyFont="1" applyFill="1" applyBorder="1" applyAlignment="1">
      <alignment horizontal="left" vertical="center"/>
    </xf>
    <xf numFmtId="0" fontId="2" fillId="9" borderId="1" xfId="0" applyFont="1" applyFill="1" applyBorder="1" applyAlignment="1">
      <alignment horizontal="left" vertical="center"/>
    </xf>
    <xf numFmtId="0" fontId="1" fillId="10" borderId="1" xfId="0" applyFont="1" applyFill="1" applyBorder="1" applyAlignment="1">
      <alignment horizontal="center" vertical="center" wrapText="1"/>
    </xf>
    <xf numFmtId="164" fontId="2" fillId="3" borderId="1" xfId="0" applyNumberFormat="1" applyFont="1" applyFill="1" applyBorder="1" applyAlignment="1">
      <alignment horizontal="right"/>
    </xf>
    <xf numFmtId="164" fontId="2" fillId="4" borderId="1" xfId="0" applyNumberFormat="1" applyFont="1" applyFill="1" applyBorder="1" applyAlignment="1">
      <alignment horizontal="right"/>
    </xf>
    <xf numFmtId="0" fontId="3" fillId="2" borderId="1" xfId="0" applyFont="1" applyFill="1" applyBorder="1" applyAlignment="1">
      <alignment horizontal="center" vertical="center" wrapText="1"/>
    </xf>
    <xf numFmtId="0" fontId="0" fillId="0" borderId="0" xfId="0"/>
    <xf numFmtId="0" fontId="3" fillId="1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8" fillId="8" borderId="1" xfId="0" applyFont="1" applyFill="1" applyBorder="1" applyAlignment="1">
      <alignment horizontal="left" vertical="center"/>
    </xf>
    <xf numFmtId="0" fontId="8" fillId="8" borderId="3" xfId="0" applyFont="1" applyFill="1" applyBorder="1" applyAlignment="1">
      <alignment horizontal="left" vertical="center"/>
    </xf>
    <xf numFmtId="0" fontId="5" fillId="0" borderId="1" xfId="0" applyFont="1" applyFill="1" applyBorder="1" applyAlignment="1">
      <alignment horizontal="left" vertical="center"/>
    </xf>
    <xf numFmtId="3" fontId="5" fillId="0" borderId="1" xfId="0" applyNumberFormat="1" applyFont="1" applyFill="1" applyBorder="1" applyAlignment="1">
      <alignment horizontal="left" vertical="center"/>
    </xf>
    <xf numFmtId="0" fontId="8" fillId="0" borderId="1" xfId="0" applyFont="1" applyFill="1" applyBorder="1" applyAlignment="1">
      <alignment horizontal="left" vertical="center"/>
    </xf>
  </cellXfs>
  <cellStyles count="1">
    <cellStyle name="Normal" xfId="0" builtinId="0"/>
  </cellStyles>
  <dxfs count="2">
    <dxf>
      <fill>
        <patternFill>
          <bgColor theme="9" tint="0.79998168889431442"/>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AEAAB6-FE69-4FE4-8DF3-92488CAD23D9}">
  <we:reference id="wa200009404" version="1.0.0.8" store="en-US" storeType="OMEX"/>
  <we:alternateReferences>
    <we:reference id="wa200009404" version="1.0.0.8" store="en-US" storeType="OMEX"/>
  </we:alternateReferences>
  <we:properties>
    <we:property name="claude.fileId" value="&quot;dd6db425-44d1-4dbc-8034-1ef70c8d1c9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84040"/>
  </sheetPr>
  <dimension ref="A1:B29"/>
  <sheetViews>
    <sheetView zoomScale="130" zoomScaleNormal="130" workbookViewId="0">
      <pane ySplit="1" topLeftCell="A14" activePane="bottomLeft" state="frozen"/>
      <selection pane="bottomLeft" activeCell="B28" sqref="B28"/>
    </sheetView>
  </sheetViews>
  <sheetFormatPr defaultRowHeight="14.5" x14ac:dyDescent="0.35"/>
  <cols>
    <col min="1" max="1" width="28" customWidth="1"/>
    <col min="2" max="2" width="72" customWidth="1"/>
  </cols>
  <sheetData>
    <row r="1" spans="1:2" ht="22" customHeight="1" x14ac:dyDescent="0.35">
      <c r="A1" s="1" t="s">
        <v>0</v>
      </c>
      <c r="B1" s="1" t="s">
        <v>1</v>
      </c>
    </row>
    <row r="2" spans="1:2" ht="18" customHeight="1" x14ac:dyDescent="0.35">
      <c r="A2" s="2" t="s">
        <v>2</v>
      </c>
      <c r="B2" s="2" t="s">
        <v>3</v>
      </c>
    </row>
    <row r="3" spans="1:2" ht="18" customHeight="1" x14ac:dyDescent="0.35">
      <c r="A3" s="3" t="s">
        <v>4</v>
      </c>
      <c r="B3" s="3" t="s">
        <v>5</v>
      </c>
    </row>
    <row r="4" spans="1:2" ht="18" customHeight="1" x14ac:dyDescent="0.35">
      <c r="A4" s="2" t="s">
        <v>6</v>
      </c>
      <c r="B4" s="2" t="s">
        <v>7</v>
      </c>
    </row>
    <row r="5" spans="1:2" ht="18" customHeight="1" x14ac:dyDescent="0.35">
      <c r="A5" s="3" t="s">
        <v>8</v>
      </c>
      <c r="B5" s="3" t="s">
        <v>9</v>
      </c>
    </row>
    <row r="6" spans="1:2" ht="18" customHeight="1" x14ac:dyDescent="0.35">
      <c r="A6" s="2" t="s">
        <v>10</v>
      </c>
      <c r="B6" s="2" t="s">
        <v>11</v>
      </c>
    </row>
    <row r="7" spans="1:2" ht="18" customHeight="1" x14ac:dyDescent="0.35">
      <c r="A7" s="3" t="s">
        <v>12</v>
      </c>
      <c r="B7" s="3" t="s">
        <v>13</v>
      </c>
    </row>
    <row r="8" spans="1:2" ht="18" customHeight="1" x14ac:dyDescent="0.35">
      <c r="A8" s="2" t="s">
        <v>14</v>
      </c>
      <c r="B8" s="2" t="s">
        <v>15</v>
      </c>
    </row>
    <row r="9" spans="1:2" ht="18" customHeight="1" x14ac:dyDescent="0.35">
      <c r="A9" s="3" t="s">
        <v>16</v>
      </c>
      <c r="B9" s="3" t="s">
        <v>17</v>
      </c>
    </row>
    <row r="10" spans="1:2" ht="18" customHeight="1" x14ac:dyDescent="0.35">
      <c r="A10" s="2" t="s">
        <v>18</v>
      </c>
      <c r="B10" s="2" t="s">
        <v>134</v>
      </c>
    </row>
    <row r="11" spans="1:2" ht="18" customHeight="1" x14ac:dyDescent="0.35">
      <c r="A11" s="4"/>
      <c r="B11" s="4"/>
    </row>
    <row r="12" spans="1:2" ht="18" customHeight="1" x14ac:dyDescent="0.35">
      <c r="A12" s="5" t="s">
        <v>19</v>
      </c>
      <c r="B12" s="5" t="s">
        <v>20</v>
      </c>
    </row>
    <row r="13" spans="1:2" ht="18" customHeight="1" x14ac:dyDescent="0.35">
      <c r="A13" s="3" t="s">
        <v>21</v>
      </c>
      <c r="B13" s="3" t="s">
        <v>22</v>
      </c>
    </row>
    <row r="14" spans="1:2" ht="18" customHeight="1" x14ac:dyDescent="0.35">
      <c r="A14" s="2" t="s">
        <v>23</v>
      </c>
      <c r="B14" s="2" t="s">
        <v>24</v>
      </c>
    </row>
    <row r="15" spans="1:2" ht="18" customHeight="1" x14ac:dyDescent="0.35">
      <c r="A15" s="3" t="s">
        <v>25</v>
      </c>
      <c r="B15" s="3" t="s">
        <v>26</v>
      </c>
    </row>
    <row r="16" spans="1:2" ht="18" customHeight="1" x14ac:dyDescent="0.35">
      <c r="A16" s="2" t="s">
        <v>27</v>
      </c>
      <c r="B16" s="2" t="s">
        <v>28</v>
      </c>
    </row>
    <row r="17" spans="1:2" ht="18" customHeight="1" x14ac:dyDescent="0.35">
      <c r="A17" s="3" t="s">
        <v>29</v>
      </c>
      <c r="B17" s="3" t="s">
        <v>30</v>
      </c>
    </row>
    <row r="18" spans="1:2" ht="18" customHeight="1" x14ac:dyDescent="0.35">
      <c r="A18" s="4"/>
      <c r="B18" s="4"/>
    </row>
    <row r="19" spans="1:2" ht="18" customHeight="1" x14ac:dyDescent="0.35">
      <c r="A19" s="5" t="s">
        <v>31</v>
      </c>
      <c r="B19" s="5"/>
    </row>
    <row r="20" spans="1:2" ht="18" customHeight="1" x14ac:dyDescent="0.35">
      <c r="A20" s="2" t="s">
        <v>32</v>
      </c>
      <c r="B20" s="2" t="s">
        <v>33</v>
      </c>
    </row>
    <row r="21" spans="1:2" ht="18" customHeight="1" x14ac:dyDescent="0.35">
      <c r="A21" s="3" t="s">
        <v>34</v>
      </c>
      <c r="B21" s="3" t="s">
        <v>35</v>
      </c>
    </row>
    <row r="22" spans="1:2" ht="18" customHeight="1" x14ac:dyDescent="0.35">
      <c r="A22" s="2" t="s">
        <v>36</v>
      </c>
      <c r="B22" s="2" t="s">
        <v>37</v>
      </c>
    </row>
    <row r="23" spans="1:2" ht="18" customHeight="1" x14ac:dyDescent="0.35">
      <c r="A23" s="3" t="s">
        <v>38</v>
      </c>
      <c r="B23" s="3" t="s">
        <v>39</v>
      </c>
    </row>
    <row r="24" spans="1:2" ht="18" customHeight="1" x14ac:dyDescent="0.35">
      <c r="A24" s="2" t="s">
        <v>40</v>
      </c>
      <c r="B24" s="2" t="s">
        <v>41</v>
      </c>
    </row>
    <row r="25" spans="1:2" ht="18" customHeight="1" x14ac:dyDescent="0.35">
      <c r="A25" s="4"/>
      <c r="B25" s="4"/>
    </row>
    <row r="26" spans="1:2" ht="18" customHeight="1" x14ac:dyDescent="0.35">
      <c r="A26" s="5" t="s">
        <v>42</v>
      </c>
      <c r="B26" s="5"/>
    </row>
    <row r="27" spans="1:2" ht="18" customHeight="1" x14ac:dyDescent="0.35">
      <c r="A27" s="3" t="s">
        <v>43</v>
      </c>
      <c r="B27" s="20" t="s">
        <v>152</v>
      </c>
    </row>
    <row r="28" spans="1:2" ht="18" customHeight="1" x14ac:dyDescent="0.35">
      <c r="A28" s="2" t="s">
        <v>44</v>
      </c>
      <c r="B28" s="2" t="s">
        <v>45</v>
      </c>
    </row>
    <row r="29" spans="1:2" ht="18" customHeight="1" x14ac:dyDescent="0.35">
      <c r="A29" s="3" t="s">
        <v>46</v>
      </c>
      <c r="B29" s="3"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1A2E"/>
  </sheetPr>
  <dimension ref="A1:K15"/>
  <sheetViews>
    <sheetView zoomScale="85" zoomScaleNormal="85" workbookViewId="0">
      <pane ySplit="3" topLeftCell="A4" activePane="bottomLeft" state="frozen"/>
      <selection pane="bottomLeft" activeCell="E9" sqref="E9"/>
    </sheetView>
  </sheetViews>
  <sheetFormatPr defaultRowHeight="14.5" x14ac:dyDescent="0.35"/>
  <cols>
    <col min="1" max="2" width="10" customWidth="1"/>
    <col min="3" max="3" width="17.36328125" bestFit="1" customWidth="1"/>
    <col min="4" max="4" width="12.36328125" bestFit="1" customWidth="1"/>
    <col min="5" max="5" width="17.08984375" bestFit="1" customWidth="1"/>
    <col min="6" max="6" width="20.7265625" bestFit="1" customWidth="1"/>
    <col min="7" max="7" width="15.1796875" customWidth="1"/>
    <col min="8" max="8" width="17.1796875" customWidth="1"/>
    <col min="9" max="9" width="32" customWidth="1"/>
    <col min="10" max="10" width="12" customWidth="1"/>
    <col min="11" max="11" width="57.7265625" customWidth="1"/>
  </cols>
  <sheetData>
    <row r="1" spans="1:11" ht="20" customHeight="1" x14ac:dyDescent="0.35">
      <c r="A1" s="13" t="s">
        <v>48</v>
      </c>
      <c r="B1" s="14"/>
      <c r="C1" s="14"/>
      <c r="D1" s="14"/>
      <c r="E1" s="14"/>
      <c r="F1" s="14"/>
      <c r="G1" s="14"/>
      <c r="H1" s="14"/>
      <c r="I1" s="14"/>
      <c r="J1" s="14"/>
      <c r="K1" s="14"/>
    </row>
    <row r="2" spans="1:11" ht="20" customHeight="1" x14ac:dyDescent="0.35">
      <c r="A2" s="7" t="s">
        <v>59</v>
      </c>
      <c r="B2" s="7" t="s">
        <v>60</v>
      </c>
      <c r="C2" s="7" t="s">
        <v>61</v>
      </c>
      <c r="D2" s="7"/>
      <c r="E2" s="7" t="s">
        <v>62</v>
      </c>
      <c r="F2" s="7" t="s">
        <v>63</v>
      </c>
      <c r="G2" s="7" t="s">
        <v>61</v>
      </c>
      <c r="H2" s="7" t="s">
        <v>61</v>
      </c>
      <c r="I2" s="7" t="s">
        <v>64</v>
      </c>
      <c r="J2" s="7" t="s">
        <v>65</v>
      </c>
      <c r="K2" s="7" t="s">
        <v>66</v>
      </c>
    </row>
    <row r="3" spans="1:11" ht="22" customHeight="1" x14ac:dyDescent="0.35">
      <c r="A3" s="6" t="s">
        <v>49</v>
      </c>
      <c r="B3" s="6" t="s">
        <v>50</v>
      </c>
      <c r="C3" s="6" t="s">
        <v>51</v>
      </c>
      <c r="D3" s="6" t="s">
        <v>78</v>
      </c>
      <c r="E3" s="6" t="s">
        <v>52</v>
      </c>
      <c r="F3" s="6" t="s">
        <v>53</v>
      </c>
      <c r="G3" s="6" t="s">
        <v>54</v>
      </c>
      <c r="H3" s="6" t="s">
        <v>55</v>
      </c>
      <c r="I3" s="6" t="s">
        <v>56</v>
      </c>
      <c r="J3" s="6" t="s">
        <v>57</v>
      </c>
      <c r="K3" s="6" t="s">
        <v>58</v>
      </c>
    </row>
    <row r="4" spans="1:11" ht="30" customHeight="1" x14ac:dyDescent="0.35">
      <c r="A4" s="8" t="s">
        <v>67</v>
      </c>
      <c r="B4" s="8">
        <v>2023</v>
      </c>
      <c r="C4" s="16" t="s">
        <v>68</v>
      </c>
      <c r="D4" s="16" t="s">
        <v>88</v>
      </c>
      <c r="E4" s="17">
        <v>2.37</v>
      </c>
      <c r="F4" s="17" t="s">
        <v>130</v>
      </c>
      <c r="G4" s="16" t="s">
        <v>141</v>
      </c>
      <c r="H4" s="16" t="s">
        <v>70</v>
      </c>
      <c r="I4" s="2" t="s">
        <v>13</v>
      </c>
      <c r="J4" s="2">
        <v>60</v>
      </c>
      <c r="K4" s="2" t="s">
        <v>135</v>
      </c>
    </row>
    <row r="5" spans="1:11" ht="30" customHeight="1" x14ac:dyDescent="0.35">
      <c r="A5" s="8" t="s">
        <v>67</v>
      </c>
      <c r="B5" s="8">
        <v>2023</v>
      </c>
      <c r="C5" s="16" t="s">
        <v>71</v>
      </c>
      <c r="D5" s="16" t="s">
        <v>88</v>
      </c>
      <c r="E5" s="17">
        <v>2.87</v>
      </c>
      <c r="F5" s="17" t="s">
        <v>130</v>
      </c>
      <c r="G5" s="16" t="s">
        <v>141</v>
      </c>
      <c r="H5" s="16" t="s">
        <v>70</v>
      </c>
      <c r="I5" s="3" t="s">
        <v>13</v>
      </c>
      <c r="J5" s="3">
        <v>60</v>
      </c>
      <c r="K5" s="3" t="s">
        <v>138</v>
      </c>
    </row>
    <row r="6" spans="1:11" ht="30" customHeight="1" x14ac:dyDescent="0.35">
      <c r="A6" s="8" t="s">
        <v>67</v>
      </c>
      <c r="B6" s="8">
        <v>2023</v>
      </c>
      <c r="C6" s="16" t="s">
        <v>72</v>
      </c>
      <c r="D6" s="16" t="s">
        <v>87</v>
      </c>
      <c r="E6" s="16"/>
      <c r="F6" s="17"/>
      <c r="G6" s="16" t="s">
        <v>141</v>
      </c>
      <c r="H6" s="16" t="s">
        <v>73</v>
      </c>
      <c r="I6" s="2" t="s">
        <v>13</v>
      </c>
      <c r="J6" s="2">
        <v>60</v>
      </c>
      <c r="K6" s="2" t="s">
        <v>137</v>
      </c>
    </row>
    <row r="7" spans="1:11" ht="30" customHeight="1" x14ac:dyDescent="0.35">
      <c r="A7" s="8" t="s">
        <v>67</v>
      </c>
      <c r="B7" s="8">
        <v>2023</v>
      </c>
      <c r="C7" s="16" t="s">
        <v>74</v>
      </c>
      <c r="D7" s="16" t="s">
        <v>88</v>
      </c>
      <c r="E7" s="17">
        <v>588.76</v>
      </c>
      <c r="F7" s="17" t="s">
        <v>69</v>
      </c>
      <c r="G7" s="16" t="s">
        <v>141</v>
      </c>
      <c r="H7" s="16" t="s">
        <v>70</v>
      </c>
      <c r="I7" s="3" t="s">
        <v>13</v>
      </c>
      <c r="J7" s="3">
        <v>61</v>
      </c>
      <c r="K7" s="3" t="s">
        <v>139</v>
      </c>
    </row>
    <row r="8" spans="1:11" ht="30" customHeight="1" x14ac:dyDescent="0.35">
      <c r="A8" s="8" t="s">
        <v>67</v>
      </c>
      <c r="B8" s="8">
        <v>2024</v>
      </c>
      <c r="C8" s="16" t="s">
        <v>68</v>
      </c>
      <c r="D8" s="16" t="s">
        <v>88</v>
      </c>
      <c r="E8" s="17">
        <v>2.56</v>
      </c>
      <c r="F8" s="17" t="s">
        <v>130</v>
      </c>
      <c r="G8" s="16" t="s">
        <v>141</v>
      </c>
      <c r="H8" s="16" t="s">
        <v>70</v>
      </c>
      <c r="I8" s="2" t="s">
        <v>13</v>
      </c>
      <c r="J8" s="2">
        <v>60</v>
      </c>
      <c r="K8" s="2" t="s">
        <v>135</v>
      </c>
    </row>
    <row r="9" spans="1:11" ht="30" customHeight="1" x14ac:dyDescent="0.35">
      <c r="A9" s="8" t="s">
        <v>67</v>
      </c>
      <c r="B9" s="8">
        <v>2024</v>
      </c>
      <c r="C9" s="16" t="s">
        <v>71</v>
      </c>
      <c r="D9" s="16" t="s">
        <v>88</v>
      </c>
      <c r="E9" s="17">
        <v>2.87</v>
      </c>
      <c r="F9" s="17" t="s">
        <v>130</v>
      </c>
      <c r="G9" s="16" t="s">
        <v>141</v>
      </c>
      <c r="H9" s="16" t="s">
        <v>70</v>
      </c>
      <c r="I9" s="3" t="s">
        <v>13</v>
      </c>
      <c r="J9" s="3">
        <v>60</v>
      </c>
      <c r="K9" s="3" t="s">
        <v>138</v>
      </c>
    </row>
    <row r="10" spans="1:11" ht="30" customHeight="1" x14ac:dyDescent="0.35">
      <c r="A10" s="8" t="s">
        <v>67</v>
      </c>
      <c r="B10" s="8">
        <v>2024</v>
      </c>
      <c r="C10" s="16" t="s">
        <v>72</v>
      </c>
      <c r="D10" s="16" t="s">
        <v>87</v>
      </c>
      <c r="E10" s="16"/>
      <c r="F10" s="17"/>
      <c r="G10" s="16" t="s">
        <v>141</v>
      </c>
      <c r="H10" s="16" t="s">
        <v>73</v>
      </c>
      <c r="I10" s="2" t="s">
        <v>13</v>
      </c>
      <c r="J10" s="2">
        <v>60</v>
      </c>
      <c r="K10" s="2" t="s">
        <v>137</v>
      </c>
    </row>
    <row r="11" spans="1:11" ht="30" customHeight="1" x14ac:dyDescent="0.35">
      <c r="A11" s="8" t="s">
        <v>67</v>
      </c>
      <c r="B11" s="8">
        <v>2024</v>
      </c>
      <c r="C11" s="16" t="s">
        <v>74</v>
      </c>
      <c r="D11" s="16" t="s">
        <v>88</v>
      </c>
      <c r="E11" s="17">
        <v>594.83000000000004</v>
      </c>
      <c r="F11" s="17" t="s">
        <v>69</v>
      </c>
      <c r="G11" s="16" t="s">
        <v>141</v>
      </c>
      <c r="H11" s="16" t="s">
        <v>70</v>
      </c>
      <c r="I11" s="3" t="s">
        <v>13</v>
      </c>
      <c r="J11" s="3">
        <v>61</v>
      </c>
      <c r="K11" s="3" t="s">
        <v>139</v>
      </c>
    </row>
    <row r="12" spans="1:11" ht="30" customHeight="1" x14ac:dyDescent="0.35">
      <c r="A12" s="8" t="s">
        <v>67</v>
      </c>
      <c r="B12" s="8">
        <v>2025</v>
      </c>
      <c r="C12" s="16" t="s">
        <v>68</v>
      </c>
      <c r="D12" s="16" t="s">
        <v>88</v>
      </c>
      <c r="E12" s="17">
        <v>2.4500000000000002</v>
      </c>
      <c r="F12" s="17" t="s">
        <v>130</v>
      </c>
      <c r="G12" s="16" t="s">
        <v>141</v>
      </c>
      <c r="H12" s="16" t="s">
        <v>70</v>
      </c>
      <c r="I12" s="2" t="s">
        <v>13</v>
      </c>
      <c r="J12" s="2">
        <v>60</v>
      </c>
      <c r="K12" s="2" t="s">
        <v>136</v>
      </c>
    </row>
    <row r="13" spans="1:11" ht="30" customHeight="1" x14ac:dyDescent="0.35">
      <c r="A13" s="8" t="s">
        <v>67</v>
      </c>
      <c r="B13" s="8">
        <v>2025</v>
      </c>
      <c r="C13" s="16" t="s">
        <v>71</v>
      </c>
      <c r="D13" s="16" t="s">
        <v>88</v>
      </c>
      <c r="E13" s="17">
        <v>2.52</v>
      </c>
      <c r="F13" s="17" t="s">
        <v>130</v>
      </c>
      <c r="G13" s="16" t="s">
        <v>141</v>
      </c>
      <c r="H13" s="16" t="s">
        <v>70</v>
      </c>
      <c r="I13" s="3" t="s">
        <v>13</v>
      </c>
      <c r="J13" s="3">
        <v>60</v>
      </c>
      <c r="K13" s="3" t="s">
        <v>138</v>
      </c>
    </row>
    <row r="14" spans="1:11" ht="30" customHeight="1" x14ac:dyDescent="0.35">
      <c r="A14" s="8" t="s">
        <v>67</v>
      </c>
      <c r="B14" s="8">
        <v>2025</v>
      </c>
      <c r="C14" s="16" t="s">
        <v>72</v>
      </c>
      <c r="D14" s="16" t="s">
        <v>87</v>
      </c>
      <c r="E14" s="16"/>
      <c r="F14" s="17"/>
      <c r="G14" s="16" t="s">
        <v>141</v>
      </c>
      <c r="H14" s="16" t="s">
        <v>73</v>
      </c>
      <c r="I14" s="2" t="s">
        <v>13</v>
      </c>
      <c r="J14" s="2">
        <v>60</v>
      </c>
      <c r="K14" s="2" t="s">
        <v>137</v>
      </c>
    </row>
    <row r="15" spans="1:11" ht="30" customHeight="1" x14ac:dyDescent="0.35">
      <c r="A15" s="8" t="s">
        <v>67</v>
      </c>
      <c r="B15" s="8">
        <v>2025</v>
      </c>
      <c r="C15" s="16" t="s">
        <v>74</v>
      </c>
      <c r="D15" s="16" t="s">
        <v>88</v>
      </c>
      <c r="E15" s="17">
        <v>584.52</v>
      </c>
      <c r="F15" s="17" t="s">
        <v>69</v>
      </c>
      <c r="G15" s="16" t="s">
        <v>141</v>
      </c>
      <c r="H15" s="16" t="s">
        <v>70</v>
      </c>
      <c r="I15" s="3" t="s">
        <v>13</v>
      </c>
      <c r="J15" s="3">
        <v>61</v>
      </c>
      <c r="K15" s="3" t="s">
        <v>139</v>
      </c>
    </row>
  </sheetData>
  <autoFilter ref="A3:K15" xr:uid="{00000000-0001-0000-0100-000000000000}"/>
  <mergeCells count="1">
    <mergeCell ref="A1:K1"/>
  </mergeCells>
  <conditionalFormatting sqref="C4:H15">
    <cfRule type="expression" dxfId="1" priority="1">
      <formula>ISBLANK(C4)</formula>
    </cfRule>
  </conditionalFormatting>
  <dataValidations count="4">
    <dataValidation type="list" sqref="C4:D15" xr:uid="{00000000-0002-0000-0100-000000000000}">
      <formula1>"Scope 1,Scope 2 (market-based),Scope 2 (location-based),Scope 3 Total"</formula1>
    </dataValidation>
    <dataValidation type="list" allowBlank="1" sqref="H4:H15" xr:uid="{00000000-0002-0000-0100-000002000000}">
      <formula1>"Third-party assured,Partial assurance,Not assured,Unknown"</formula1>
    </dataValidation>
    <dataValidation type="list" allowBlank="1" sqref="G4:G15" xr:uid="{6075978D-A6E5-4BB2-AE8B-FDE220AC6B88}">
      <formula1>"Operational control,Equity share,Financial control,Not Stated"</formula1>
    </dataValidation>
    <dataValidation type="list" sqref="D4:D15" xr:uid="{08D1BBCE-4D7F-4A47-8B9A-54E0D531C2F0}">
      <formula1>"Yes,No,N/A"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274173B3-A523-4B29-9345-0F1697B85FF5}">
          <x14:formula1>
            <xm:f>dim_units!$A$3:$A$8</xm:f>
          </x14:formula1>
          <xm:sqref>F4:F15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1A2E"/>
  </sheetPr>
  <dimension ref="A1:H48"/>
  <sheetViews>
    <sheetView zoomScale="85" zoomScaleNormal="85" workbookViewId="0">
      <pane ySplit="3" topLeftCell="A11" activePane="bottomLeft" state="frozen"/>
      <selection pane="bottomLeft" activeCell="B5" sqref="B5"/>
    </sheetView>
  </sheetViews>
  <sheetFormatPr defaultRowHeight="14.5" x14ac:dyDescent="0.35"/>
  <cols>
    <col min="1" max="1" width="9.08984375" customWidth="1"/>
    <col min="2" max="2" width="10" customWidth="1"/>
    <col min="3" max="3" width="10.36328125" customWidth="1"/>
    <col min="4" max="4" width="33.26953125" customWidth="1"/>
    <col min="5" max="5" width="12.36328125" bestFit="1" customWidth="1"/>
    <col min="6" max="6" width="14.1796875" customWidth="1"/>
    <col min="7" max="7" width="18" customWidth="1"/>
    <col min="8" max="8" width="42" customWidth="1"/>
  </cols>
  <sheetData>
    <row r="1" spans="1:8" ht="20" customHeight="1" x14ac:dyDescent="0.35">
      <c r="A1" s="13" t="s">
        <v>75</v>
      </c>
      <c r="B1" s="14"/>
      <c r="C1" s="14"/>
      <c r="D1" s="14"/>
      <c r="E1" s="14"/>
      <c r="F1" s="14"/>
      <c r="G1" s="14"/>
      <c r="H1" s="14"/>
    </row>
    <row r="2" spans="1:8" ht="20" customHeight="1" x14ac:dyDescent="0.35">
      <c r="A2" s="7" t="s">
        <v>59</v>
      </c>
      <c r="B2" s="7" t="s">
        <v>79</v>
      </c>
      <c r="C2" s="7" t="s">
        <v>80</v>
      </c>
      <c r="D2" s="7" t="s">
        <v>81</v>
      </c>
      <c r="E2" s="7" t="s">
        <v>84</v>
      </c>
      <c r="F2" s="7" t="s">
        <v>82</v>
      </c>
      <c r="G2" s="7" t="s">
        <v>83</v>
      </c>
      <c r="H2" s="7" t="s">
        <v>85</v>
      </c>
    </row>
    <row r="3" spans="1:8" ht="22" customHeight="1" x14ac:dyDescent="0.35">
      <c r="A3" s="6" t="s">
        <v>49</v>
      </c>
      <c r="B3" s="6" t="s">
        <v>50</v>
      </c>
      <c r="C3" s="6" t="s">
        <v>76</v>
      </c>
      <c r="D3" s="6" t="s">
        <v>77</v>
      </c>
      <c r="E3" s="6" t="s">
        <v>78</v>
      </c>
      <c r="F3" s="6" t="s">
        <v>52</v>
      </c>
      <c r="G3" s="6" t="s">
        <v>53</v>
      </c>
      <c r="H3" s="6" t="s">
        <v>58</v>
      </c>
    </row>
    <row r="4" spans="1:8" ht="18" customHeight="1" x14ac:dyDescent="0.35">
      <c r="A4" s="8" t="s">
        <v>67</v>
      </c>
      <c r="B4" s="8">
        <v>2023</v>
      </c>
      <c r="C4" s="8">
        <v>1</v>
      </c>
      <c r="D4" s="8" t="s">
        <v>86</v>
      </c>
      <c r="E4" s="16" t="s">
        <v>88</v>
      </c>
      <c r="F4" s="16">
        <v>122.47</v>
      </c>
      <c r="G4" s="2" t="s">
        <v>69</v>
      </c>
      <c r="H4" s="2"/>
    </row>
    <row r="5" spans="1:8" ht="18" customHeight="1" x14ac:dyDescent="0.35">
      <c r="A5" s="8" t="s">
        <v>67</v>
      </c>
      <c r="B5" s="8">
        <v>2024</v>
      </c>
      <c r="C5" s="8">
        <v>1</v>
      </c>
      <c r="D5" s="8" t="s">
        <v>86</v>
      </c>
      <c r="E5" s="16" t="s">
        <v>88</v>
      </c>
      <c r="F5" s="16">
        <v>129.88</v>
      </c>
      <c r="G5" s="3" t="s">
        <v>69</v>
      </c>
      <c r="H5" s="3"/>
    </row>
    <row r="6" spans="1:8" ht="18" customHeight="1" x14ac:dyDescent="0.35">
      <c r="A6" s="8" t="s">
        <v>67</v>
      </c>
      <c r="B6" s="8">
        <v>2025</v>
      </c>
      <c r="C6" s="8">
        <v>1</v>
      </c>
      <c r="D6" s="8" t="s">
        <v>86</v>
      </c>
      <c r="E6" s="16" t="s">
        <v>88</v>
      </c>
      <c r="F6" s="17">
        <v>126.33</v>
      </c>
      <c r="G6" s="2" t="s">
        <v>69</v>
      </c>
      <c r="H6" s="2"/>
    </row>
    <row r="7" spans="1:8" ht="18" customHeight="1" x14ac:dyDescent="0.35">
      <c r="A7" s="8" t="s">
        <v>67</v>
      </c>
      <c r="B7" s="8">
        <v>2023</v>
      </c>
      <c r="C7" s="8">
        <v>2</v>
      </c>
      <c r="D7" s="8" t="s">
        <v>89</v>
      </c>
      <c r="E7" s="16" t="s">
        <v>88</v>
      </c>
      <c r="F7" s="16">
        <v>5.05</v>
      </c>
      <c r="G7" s="3" t="s">
        <v>69</v>
      </c>
      <c r="H7" s="3"/>
    </row>
    <row r="8" spans="1:8" ht="18" customHeight="1" x14ac:dyDescent="0.35">
      <c r="A8" s="8" t="s">
        <v>67</v>
      </c>
      <c r="B8" s="8">
        <v>2024</v>
      </c>
      <c r="C8" s="8">
        <v>2</v>
      </c>
      <c r="D8" s="8" t="s">
        <v>89</v>
      </c>
      <c r="E8" s="16" t="s">
        <v>88</v>
      </c>
      <c r="F8" s="16">
        <v>6.09</v>
      </c>
      <c r="G8" s="2" t="s">
        <v>69</v>
      </c>
      <c r="H8" s="2"/>
    </row>
    <row r="9" spans="1:8" ht="18" customHeight="1" x14ac:dyDescent="0.35">
      <c r="A9" s="8" t="s">
        <v>67</v>
      </c>
      <c r="B9" s="8">
        <v>2025</v>
      </c>
      <c r="C9" s="8">
        <v>2</v>
      </c>
      <c r="D9" s="8" t="s">
        <v>89</v>
      </c>
      <c r="E9" s="16" t="s">
        <v>88</v>
      </c>
      <c r="F9" s="16">
        <v>4.32</v>
      </c>
      <c r="G9" s="3" t="s">
        <v>69</v>
      </c>
      <c r="H9" s="3"/>
    </row>
    <row r="10" spans="1:8" ht="18" customHeight="1" x14ac:dyDescent="0.35">
      <c r="A10" s="8" t="s">
        <v>67</v>
      </c>
      <c r="B10" s="8">
        <v>2023</v>
      </c>
      <c r="C10" s="8">
        <v>3</v>
      </c>
      <c r="D10" s="8" t="s">
        <v>90</v>
      </c>
      <c r="E10" s="16" t="s">
        <v>88</v>
      </c>
      <c r="F10" s="16">
        <v>1.2</v>
      </c>
      <c r="G10" s="2" t="s">
        <v>69</v>
      </c>
      <c r="H10" s="2"/>
    </row>
    <row r="11" spans="1:8" ht="18" customHeight="1" x14ac:dyDescent="0.35">
      <c r="A11" s="8" t="s">
        <v>67</v>
      </c>
      <c r="B11" s="8">
        <v>2024</v>
      </c>
      <c r="C11" s="8">
        <v>3</v>
      </c>
      <c r="D11" s="8" t="s">
        <v>90</v>
      </c>
      <c r="E11" s="16" t="s">
        <v>88</v>
      </c>
      <c r="F11" s="16">
        <v>1</v>
      </c>
      <c r="G11" s="3" t="s">
        <v>69</v>
      </c>
      <c r="H11" s="3"/>
    </row>
    <row r="12" spans="1:8" ht="18" customHeight="1" x14ac:dyDescent="0.35">
      <c r="A12" s="8" t="s">
        <v>67</v>
      </c>
      <c r="B12" s="8">
        <v>2025</v>
      </c>
      <c r="C12" s="8">
        <v>3</v>
      </c>
      <c r="D12" s="8" t="s">
        <v>90</v>
      </c>
      <c r="E12" s="16" t="s">
        <v>88</v>
      </c>
      <c r="F12" s="16">
        <v>1.04</v>
      </c>
      <c r="G12" s="2" t="s">
        <v>69</v>
      </c>
      <c r="H12" s="2"/>
    </row>
    <row r="13" spans="1:8" ht="18" customHeight="1" x14ac:dyDescent="0.35">
      <c r="A13" s="8" t="s">
        <v>67</v>
      </c>
      <c r="B13" s="8">
        <v>2023</v>
      </c>
      <c r="C13" s="8">
        <v>4</v>
      </c>
      <c r="D13" s="8" t="s">
        <v>91</v>
      </c>
      <c r="E13" s="16" t="s">
        <v>88</v>
      </c>
      <c r="F13" s="16">
        <v>4.33</v>
      </c>
      <c r="G13" s="3" t="s">
        <v>69</v>
      </c>
      <c r="H13" s="3"/>
    </row>
    <row r="14" spans="1:8" ht="18" customHeight="1" x14ac:dyDescent="0.35">
      <c r="A14" s="8" t="s">
        <v>67</v>
      </c>
      <c r="B14" s="8">
        <v>2024</v>
      </c>
      <c r="C14" s="8">
        <v>4</v>
      </c>
      <c r="D14" s="8" t="s">
        <v>91</v>
      </c>
      <c r="E14" s="16" t="s">
        <v>88</v>
      </c>
      <c r="F14" s="16">
        <v>4.57</v>
      </c>
      <c r="G14" s="2" t="s">
        <v>69</v>
      </c>
      <c r="H14" s="2"/>
    </row>
    <row r="15" spans="1:8" ht="18" customHeight="1" x14ac:dyDescent="0.35">
      <c r="A15" s="8" t="s">
        <v>67</v>
      </c>
      <c r="B15" s="8">
        <v>2025</v>
      </c>
      <c r="C15" s="8">
        <v>4</v>
      </c>
      <c r="D15" s="8" t="s">
        <v>91</v>
      </c>
      <c r="E15" s="16" t="s">
        <v>88</v>
      </c>
      <c r="F15" s="16">
        <v>5.3</v>
      </c>
      <c r="G15" s="3" t="s">
        <v>69</v>
      </c>
      <c r="H15" s="3"/>
    </row>
    <row r="16" spans="1:8" ht="18" customHeight="1" x14ac:dyDescent="0.35">
      <c r="A16" s="8" t="s">
        <v>67</v>
      </c>
      <c r="B16" s="8">
        <v>2023</v>
      </c>
      <c r="C16" s="8">
        <v>5</v>
      </c>
      <c r="D16" s="8" t="s">
        <v>92</v>
      </c>
      <c r="E16" s="16" t="s">
        <v>88</v>
      </c>
      <c r="F16" s="16">
        <v>0.1</v>
      </c>
      <c r="G16" s="2" t="s">
        <v>69</v>
      </c>
      <c r="H16" s="2"/>
    </row>
    <row r="17" spans="1:8" ht="18" customHeight="1" x14ac:dyDescent="0.35">
      <c r="A17" s="8" t="s">
        <v>67</v>
      </c>
      <c r="B17" s="8">
        <v>2024</v>
      </c>
      <c r="C17" s="8">
        <v>5</v>
      </c>
      <c r="D17" s="8" t="s">
        <v>92</v>
      </c>
      <c r="E17" s="16" t="s">
        <v>88</v>
      </c>
      <c r="F17" s="16">
        <v>0.1</v>
      </c>
      <c r="G17" s="3" t="s">
        <v>69</v>
      </c>
      <c r="H17" s="3"/>
    </row>
    <row r="18" spans="1:8" ht="18" customHeight="1" x14ac:dyDescent="0.35">
      <c r="A18" s="8" t="s">
        <v>67</v>
      </c>
      <c r="B18" s="8">
        <v>2025</v>
      </c>
      <c r="C18" s="8">
        <v>5</v>
      </c>
      <c r="D18" s="8" t="s">
        <v>92</v>
      </c>
      <c r="E18" s="16" t="s">
        <v>88</v>
      </c>
      <c r="F18" s="16">
        <v>0.11</v>
      </c>
      <c r="G18" s="2" t="s">
        <v>69</v>
      </c>
      <c r="H18" s="2"/>
    </row>
    <row r="19" spans="1:8" ht="18" customHeight="1" x14ac:dyDescent="0.35">
      <c r="A19" s="8" t="s">
        <v>67</v>
      </c>
      <c r="B19" s="8">
        <v>2023</v>
      </c>
      <c r="C19" s="8">
        <v>6</v>
      </c>
      <c r="D19" s="8" t="s">
        <v>93</v>
      </c>
      <c r="E19" s="16" t="s">
        <v>88</v>
      </c>
      <c r="F19" s="16">
        <v>0.06</v>
      </c>
      <c r="G19" s="3" t="s">
        <v>69</v>
      </c>
      <c r="H19" s="3"/>
    </row>
    <row r="20" spans="1:8" ht="18" customHeight="1" x14ac:dyDescent="0.35">
      <c r="A20" s="8" t="s">
        <v>67</v>
      </c>
      <c r="B20" s="8">
        <v>2024</v>
      </c>
      <c r="C20" s="8">
        <v>6</v>
      </c>
      <c r="D20" s="8" t="s">
        <v>93</v>
      </c>
      <c r="E20" s="16" t="s">
        <v>88</v>
      </c>
      <c r="F20" s="16">
        <v>0.09</v>
      </c>
      <c r="G20" s="2" t="s">
        <v>69</v>
      </c>
      <c r="H20" s="2"/>
    </row>
    <row r="21" spans="1:8" ht="18" customHeight="1" x14ac:dyDescent="0.35">
      <c r="A21" s="8" t="s">
        <v>67</v>
      </c>
      <c r="B21" s="8">
        <v>2025</v>
      </c>
      <c r="C21" s="8">
        <v>6</v>
      </c>
      <c r="D21" s="8" t="s">
        <v>93</v>
      </c>
      <c r="E21" s="16" t="s">
        <v>88</v>
      </c>
      <c r="F21" s="16">
        <v>0.11</v>
      </c>
      <c r="G21" s="3" t="s">
        <v>69</v>
      </c>
      <c r="H21" s="3"/>
    </row>
    <row r="22" spans="1:8" ht="18" customHeight="1" x14ac:dyDescent="0.35">
      <c r="A22" s="8" t="s">
        <v>67</v>
      </c>
      <c r="B22" s="8">
        <v>2023</v>
      </c>
      <c r="C22" s="8">
        <v>7</v>
      </c>
      <c r="D22" s="8" t="s">
        <v>94</v>
      </c>
      <c r="E22" s="16" t="s">
        <v>88</v>
      </c>
      <c r="F22" s="16">
        <v>0.61</v>
      </c>
      <c r="G22" s="2" t="s">
        <v>69</v>
      </c>
      <c r="H22" s="2"/>
    </row>
    <row r="23" spans="1:8" ht="18" customHeight="1" x14ac:dyDescent="0.35">
      <c r="A23" s="8" t="s">
        <v>67</v>
      </c>
      <c r="B23" s="8">
        <v>2024</v>
      </c>
      <c r="C23" s="8">
        <v>7</v>
      </c>
      <c r="D23" s="8" t="s">
        <v>94</v>
      </c>
      <c r="E23" s="16" t="s">
        <v>88</v>
      </c>
      <c r="F23" s="16">
        <v>0.59</v>
      </c>
      <c r="G23" s="3" t="s">
        <v>69</v>
      </c>
      <c r="H23" s="3"/>
    </row>
    <row r="24" spans="1:8" ht="18" customHeight="1" x14ac:dyDescent="0.35">
      <c r="A24" s="8" t="s">
        <v>67</v>
      </c>
      <c r="B24" s="8">
        <v>2025</v>
      </c>
      <c r="C24" s="8">
        <v>7</v>
      </c>
      <c r="D24" s="8" t="s">
        <v>94</v>
      </c>
      <c r="E24" s="16" t="s">
        <v>88</v>
      </c>
      <c r="F24" s="16">
        <v>0.06</v>
      </c>
      <c r="G24" s="2" t="s">
        <v>69</v>
      </c>
      <c r="H24" s="2"/>
    </row>
    <row r="25" spans="1:8" ht="18" customHeight="1" x14ac:dyDescent="0.35">
      <c r="A25" s="8" t="s">
        <v>67</v>
      </c>
      <c r="B25" s="8">
        <v>2023</v>
      </c>
      <c r="C25" s="8">
        <v>8</v>
      </c>
      <c r="D25" s="8" t="s">
        <v>95</v>
      </c>
      <c r="E25" s="16" t="s">
        <v>96</v>
      </c>
      <c r="F25" s="16"/>
      <c r="G25" s="3" t="s">
        <v>69</v>
      </c>
      <c r="H25" s="3" t="s">
        <v>140</v>
      </c>
    </row>
    <row r="26" spans="1:8" ht="18" customHeight="1" x14ac:dyDescent="0.35">
      <c r="A26" s="8" t="s">
        <v>67</v>
      </c>
      <c r="B26" s="8">
        <v>2024</v>
      </c>
      <c r="C26" s="8">
        <v>8</v>
      </c>
      <c r="D26" s="8" t="s">
        <v>95</v>
      </c>
      <c r="E26" s="16" t="s">
        <v>96</v>
      </c>
      <c r="F26" s="16"/>
      <c r="G26" s="2" t="s">
        <v>69</v>
      </c>
      <c r="H26" s="2" t="s">
        <v>140</v>
      </c>
    </row>
    <row r="27" spans="1:8" ht="18" customHeight="1" x14ac:dyDescent="0.35">
      <c r="A27" s="8" t="s">
        <v>67</v>
      </c>
      <c r="B27" s="8">
        <v>2025</v>
      </c>
      <c r="C27" s="8">
        <v>8</v>
      </c>
      <c r="D27" s="8" t="s">
        <v>95</v>
      </c>
      <c r="E27" s="16" t="s">
        <v>96</v>
      </c>
      <c r="F27" s="16"/>
      <c r="G27" s="3" t="s">
        <v>69</v>
      </c>
      <c r="H27" s="3" t="s">
        <v>140</v>
      </c>
    </row>
    <row r="28" spans="1:8" ht="18" customHeight="1" x14ac:dyDescent="0.35">
      <c r="A28" s="8" t="s">
        <v>67</v>
      </c>
      <c r="B28" s="8">
        <v>2023</v>
      </c>
      <c r="C28" s="8">
        <v>9</v>
      </c>
      <c r="D28" s="8" t="s">
        <v>97</v>
      </c>
      <c r="E28" s="16" t="s">
        <v>88</v>
      </c>
      <c r="F28" s="16">
        <v>0.06</v>
      </c>
      <c r="G28" s="2" t="s">
        <v>69</v>
      </c>
      <c r="H28" s="2"/>
    </row>
    <row r="29" spans="1:8" ht="18" customHeight="1" x14ac:dyDescent="0.35">
      <c r="A29" s="8" t="s">
        <v>67</v>
      </c>
      <c r="B29" s="8">
        <v>2024</v>
      </c>
      <c r="C29" s="8">
        <v>9</v>
      </c>
      <c r="D29" s="8" t="s">
        <v>97</v>
      </c>
      <c r="E29" s="16" t="s">
        <v>88</v>
      </c>
      <c r="F29" s="16">
        <v>0.1</v>
      </c>
      <c r="G29" s="3" t="s">
        <v>69</v>
      </c>
      <c r="H29" s="3"/>
    </row>
    <row r="30" spans="1:8" ht="18" customHeight="1" x14ac:dyDescent="0.35">
      <c r="A30" s="8" t="s">
        <v>67</v>
      </c>
      <c r="B30" s="8">
        <v>2025</v>
      </c>
      <c r="C30" s="8">
        <v>9</v>
      </c>
      <c r="D30" s="8" t="s">
        <v>97</v>
      </c>
      <c r="E30" s="16" t="s">
        <v>88</v>
      </c>
      <c r="F30" s="16">
        <v>0.2</v>
      </c>
      <c r="G30" s="2" t="s">
        <v>69</v>
      </c>
      <c r="H30" s="2"/>
    </row>
    <row r="31" spans="1:8" ht="18" customHeight="1" x14ac:dyDescent="0.35">
      <c r="A31" s="8" t="s">
        <v>67</v>
      </c>
      <c r="B31" s="8">
        <v>2023</v>
      </c>
      <c r="C31" s="8">
        <v>10</v>
      </c>
      <c r="D31" s="8" t="s">
        <v>98</v>
      </c>
      <c r="E31" s="16" t="s">
        <v>88</v>
      </c>
      <c r="F31" s="16">
        <v>0.01</v>
      </c>
      <c r="G31" s="3" t="s">
        <v>69</v>
      </c>
      <c r="H31" s="3"/>
    </row>
    <row r="32" spans="1:8" ht="18" customHeight="1" x14ac:dyDescent="0.35">
      <c r="A32" s="8" t="s">
        <v>67</v>
      </c>
      <c r="B32" s="8">
        <v>2024</v>
      </c>
      <c r="C32" s="8">
        <v>10</v>
      </c>
      <c r="D32" s="8" t="s">
        <v>98</v>
      </c>
      <c r="E32" s="16" t="s">
        <v>88</v>
      </c>
      <c r="F32" s="16">
        <v>0.01</v>
      </c>
      <c r="G32" s="2" t="s">
        <v>69</v>
      </c>
      <c r="H32" s="2"/>
    </row>
    <row r="33" spans="1:8" ht="18" customHeight="1" x14ac:dyDescent="0.35">
      <c r="A33" s="8" t="s">
        <v>67</v>
      </c>
      <c r="B33" s="8">
        <v>2025</v>
      </c>
      <c r="C33" s="8">
        <v>10</v>
      </c>
      <c r="D33" s="8" t="s">
        <v>98</v>
      </c>
      <c r="E33" s="16" t="s">
        <v>88</v>
      </c>
      <c r="F33" s="16">
        <v>0.01</v>
      </c>
      <c r="G33" s="3" t="s">
        <v>69</v>
      </c>
      <c r="H33" s="3"/>
    </row>
    <row r="34" spans="1:8" ht="18" customHeight="1" x14ac:dyDescent="0.35">
      <c r="A34" s="8" t="s">
        <v>67</v>
      </c>
      <c r="B34" s="8">
        <v>2023</v>
      </c>
      <c r="C34" s="8">
        <v>11</v>
      </c>
      <c r="D34" s="8" t="s">
        <v>99</v>
      </c>
      <c r="E34" s="16" t="s">
        <v>88</v>
      </c>
      <c r="F34" s="16">
        <v>439.45</v>
      </c>
      <c r="G34" s="2" t="s">
        <v>69</v>
      </c>
      <c r="H34" s="2"/>
    </row>
    <row r="35" spans="1:8" ht="18" customHeight="1" x14ac:dyDescent="0.35">
      <c r="A35" s="8" t="s">
        <v>67</v>
      </c>
      <c r="B35" s="8">
        <v>2024</v>
      </c>
      <c r="C35" s="8">
        <v>11</v>
      </c>
      <c r="D35" s="8" t="s">
        <v>99</v>
      </c>
      <c r="E35" s="16" t="s">
        <v>88</v>
      </c>
      <c r="F35" s="16">
        <v>436.28</v>
      </c>
      <c r="G35" s="3" t="s">
        <v>69</v>
      </c>
      <c r="H35" s="3"/>
    </row>
    <row r="36" spans="1:8" ht="18" customHeight="1" x14ac:dyDescent="0.35">
      <c r="A36" s="8" t="s">
        <v>67</v>
      </c>
      <c r="B36" s="8">
        <v>2025</v>
      </c>
      <c r="C36" s="8">
        <v>11</v>
      </c>
      <c r="D36" s="8" t="s">
        <v>99</v>
      </c>
      <c r="E36" s="16" t="s">
        <v>88</v>
      </c>
      <c r="F36" s="16">
        <v>432.16</v>
      </c>
      <c r="G36" s="2" t="s">
        <v>69</v>
      </c>
      <c r="H36" s="2"/>
    </row>
    <row r="37" spans="1:8" ht="18" customHeight="1" x14ac:dyDescent="0.35">
      <c r="A37" s="8" t="s">
        <v>67</v>
      </c>
      <c r="B37" s="8">
        <v>2023</v>
      </c>
      <c r="C37" s="8">
        <v>12</v>
      </c>
      <c r="D37" s="8" t="s">
        <v>100</v>
      </c>
      <c r="E37" s="16" t="s">
        <v>88</v>
      </c>
      <c r="F37" s="16">
        <v>11.23</v>
      </c>
      <c r="G37" s="3" t="s">
        <v>69</v>
      </c>
      <c r="H37" s="3"/>
    </row>
    <row r="38" spans="1:8" ht="18" customHeight="1" x14ac:dyDescent="0.35">
      <c r="A38" s="8" t="s">
        <v>67</v>
      </c>
      <c r="B38" s="8">
        <v>2024</v>
      </c>
      <c r="C38" s="8">
        <v>12</v>
      </c>
      <c r="D38" s="8" t="s">
        <v>100</v>
      </c>
      <c r="E38" s="16" t="s">
        <v>88</v>
      </c>
      <c r="F38" s="16">
        <v>12.14</v>
      </c>
      <c r="G38" s="2" t="s">
        <v>69</v>
      </c>
      <c r="H38" s="2"/>
    </row>
    <row r="39" spans="1:8" ht="18" customHeight="1" x14ac:dyDescent="0.35">
      <c r="A39" s="8" t="s">
        <v>67</v>
      </c>
      <c r="B39" s="8">
        <v>2025</v>
      </c>
      <c r="C39" s="8">
        <v>12</v>
      </c>
      <c r="D39" s="8" t="s">
        <v>100</v>
      </c>
      <c r="E39" s="16" t="s">
        <v>88</v>
      </c>
      <c r="F39" s="16">
        <v>12.09</v>
      </c>
      <c r="G39" s="3" t="s">
        <v>69</v>
      </c>
      <c r="H39" s="3"/>
    </row>
    <row r="40" spans="1:8" ht="18" customHeight="1" x14ac:dyDescent="0.35">
      <c r="A40" s="8" t="s">
        <v>67</v>
      </c>
      <c r="B40" s="8">
        <v>2023</v>
      </c>
      <c r="C40" s="8">
        <v>13</v>
      </c>
      <c r="D40" s="8" t="s">
        <v>101</v>
      </c>
      <c r="E40" s="16" t="s">
        <v>87</v>
      </c>
      <c r="F40" s="16"/>
      <c r="G40" s="2" t="s">
        <v>69</v>
      </c>
      <c r="H40" s="2" t="s">
        <v>142</v>
      </c>
    </row>
    <row r="41" spans="1:8" ht="18" customHeight="1" x14ac:dyDescent="0.35">
      <c r="A41" s="8" t="s">
        <v>67</v>
      </c>
      <c r="B41" s="8">
        <v>2024</v>
      </c>
      <c r="C41" s="8">
        <v>13</v>
      </c>
      <c r="D41" s="8" t="s">
        <v>101</v>
      </c>
      <c r="E41" s="16" t="s">
        <v>88</v>
      </c>
      <c r="F41" s="16">
        <v>0.02</v>
      </c>
      <c r="G41" s="3" t="s">
        <v>69</v>
      </c>
      <c r="H41" s="3"/>
    </row>
    <row r="42" spans="1:8" ht="18" customHeight="1" x14ac:dyDescent="0.35">
      <c r="A42" s="8" t="s">
        <v>67</v>
      </c>
      <c r="B42" s="8">
        <v>2025</v>
      </c>
      <c r="C42" s="8">
        <v>13</v>
      </c>
      <c r="D42" s="8" t="s">
        <v>101</v>
      </c>
      <c r="E42" s="16" t="s">
        <v>88</v>
      </c>
      <c r="F42" s="16">
        <v>0.15</v>
      </c>
      <c r="G42" s="2" t="s">
        <v>69</v>
      </c>
      <c r="H42" s="2"/>
    </row>
    <row r="43" spans="1:8" ht="18" customHeight="1" x14ac:dyDescent="0.35">
      <c r="A43" s="8" t="s">
        <v>67</v>
      </c>
      <c r="B43" s="8">
        <v>2023</v>
      </c>
      <c r="C43" s="8">
        <v>14</v>
      </c>
      <c r="D43" s="8" t="s">
        <v>102</v>
      </c>
      <c r="E43" s="16" t="s">
        <v>88</v>
      </c>
      <c r="F43" s="16">
        <v>4.07</v>
      </c>
      <c r="G43" s="3" t="s">
        <v>69</v>
      </c>
      <c r="H43" s="3"/>
    </row>
    <row r="44" spans="1:8" ht="18" customHeight="1" x14ac:dyDescent="0.35">
      <c r="A44" s="8" t="s">
        <v>67</v>
      </c>
      <c r="B44" s="8">
        <v>2024</v>
      </c>
      <c r="C44" s="8">
        <v>14</v>
      </c>
      <c r="D44" s="8" t="s">
        <v>102</v>
      </c>
      <c r="E44" s="16" t="s">
        <v>88</v>
      </c>
      <c r="F44" s="16">
        <v>3.85</v>
      </c>
      <c r="G44" s="2" t="s">
        <v>69</v>
      </c>
      <c r="H44" s="2"/>
    </row>
    <row r="45" spans="1:8" ht="18" customHeight="1" x14ac:dyDescent="0.35">
      <c r="A45" s="8" t="s">
        <v>67</v>
      </c>
      <c r="B45" s="8">
        <v>2025</v>
      </c>
      <c r="C45" s="8">
        <v>14</v>
      </c>
      <c r="D45" s="8" t="s">
        <v>102</v>
      </c>
      <c r="E45" s="16" t="s">
        <v>88</v>
      </c>
      <c r="F45" s="16">
        <v>2.64</v>
      </c>
      <c r="G45" s="3" t="s">
        <v>69</v>
      </c>
      <c r="H45" s="3"/>
    </row>
    <row r="46" spans="1:8" ht="18" customHeight="1" x14ac:dyDescent="0.35">
      <c r="A46" s="8" t="s">
        <v>67</v>
      </c>
      <c r="B46" s="8">
        <v>2023</v>
      </c>
      <c r="C46" s="8">
        <v>15</v>
      </c>
      <c r="D46" s="8" t="s">
        <v>103</v>
      </c>
      <c r="E46" s="16" t="s">
        <v>88</v>
      </c>
      <c r="F46" s="16">
        <v>0.13</v>
      </c>
      <c r="G46" s="2" t="s">
        <v>69</v>
      </c>
      <c r="H46" s="2"/>
    </row>
    <row r="47" spans="1:8" ht="18" customHeight="1" x14ac:dyDescent="0.35">
      <c r="A47" s="8" t="s">
        <v>67</v>
      </c>
      <c r="B47" s="8">
        <v>2024</v>
      </c>
      <c r="C47" s="8">
        <v>15</v>
      </c>
      <c r="D47" s="8" t="s">
        <v>103</v>
      </c>
      <c r="E47" s="16" t="s">
        <v>88</v>
      </c>
      <c r="F47" s="16">
        <v>0.12</v>
      </c>
      <c r="G47" s="3" t="s">
        <v>69</v>
      </c>
      <c r="H47" s="3"/>
    </row>
    <row r="48" spans="1:8" ht="18" customHeight="1" x14ac:dyDescent="0.35">
      <c r="A48" s="8" t="s">
        <v>67</v>
      </c>
      <c r="B48" s="8">
        <v>2025</v>
      </c>
      <c r="C48" s="8">
        <v>15</v>
      </c>
      <c r="D48" s="8" t="s">
        <v>103</v>
      </c>
      <c r="E48" s="16" t="s">
        <v>88</v>
      </c>
      <c r="F48" s="16">
        <v>0.02</v>
      </c>
      <c r="G48" s="2" t="s">
        <v>69</v>
      </c>
      <c r="H48" s="2"/>
    </row>
  </sheetData>
  <autoFilter ref="A3:H48" xr:uid="{00000000-0001-0000-0200-000000000000}"/>
  <mergeCells count="1">
    <mergeCell ref="A1:H1"/>
  </mergeCells>
  <conditionalFormatting sqref="E4:G48">
    <cfRule type="expression" dxfId="0" priority="1">
      <formula>ISBLANK(E4)</formula>
    </cfRule>
  </conditionalFormatting>
  <dataValidations count="1">
    <dataValidation type="list" sqref="E4 E5 E6 E7 E8 E9 E10 E11 E12 E13 E14 E15 E16 E17 E18 E19 E20 E21 E22 E23 E24 E25 E26 E27 E28 E29 E30 E31 E32 E33 E34 E35 E36 E37 E38 E39 E40 E41 E42 E43 E44 E45 E46 E47 E48" xr:uid="{00000000-0002-0000-0200-000000000000}">
      <formula1>"Yes,No,N/A"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3CA95E12-2CFC-4365-84D2-A3B76C0A3337}">
          <x14:formula1>
            <xm:f>dim_units!$A$3:$A$8</xm:f>
          </x14:formula1>
          <xm:sqref>G4:G48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D6A4F"/>
  </sheetPr>
  <dimension ref="A1:J3"/>
  <sheetViews>
    <sheetView tabSelected="1" workbookViewId="0">
      <pane ySplit="2" topLeftCell="A3" activePane="bottomLeft" state="frozen"/>
      <selection pane="bottomLeft" activeCell="C11" sqref="C11"/>
    </sheetView>
  </sheetViews>
  <sheetFormatPr defaultRowHeight="14.5" x14ac:dyDescent="0.35"/>
  <cols>
    <col min="1" max="1" width="14" customWidth="1"/>
    <col min="2" max="2" width="30" customWidth="1"/>
    <col min="3" max="3" width="12" customWidth="1"/>
    <col min="4" max="5" width="16" customWidth="1"/>
    <col min="6" max="6" width="18" customWidth="1"/>
    <col min="7" max="7" width="28" customWidth="1"/>
    <col min="8" max="8" width="16" customWidth="1"/>
    <col min="9" max="9" width="32" customWidth="1"/>
    <col min="10" max="10" width="52" customWidth="1"/>
  </cols>
  <sheetData>
    <row r="1" spans="1:10" ht="20" customHeight="1" x14ac:dyDescent="0.35">
      <c r="A1" s="15" t="s">
        <v>104</v>
      </c>
      <c r="B1" s="14"/>
      <c r="C1" s="14"/>
      <c r="D1" s="14"/>
      <c r="E1" s="14"/>
      <c r="F1" s="14"/>
      <c r="G1" s="14"/>
      <c r="H1" s="14"/>
      <c r="I1" s="14"/>
      <c r="J1" s="14"/>
    </row>
    <row r="2" spans="1:10" ht="22" customHeight="1" x14ac:dyDescent="0.35">
      <c r="A2" s="10" t="s">
        <v>49</v>
      </c>
      <c r="B2" s="10" t="s">
        <v>105</v>
      </c>
      <c r="C2" s="10" t="s">
        <v>106</v>
      </c>
      <c r="D2" s="10" t="s">
        <v>107</v>
      </c>
      <c r="E2" s="19" t="s">
        <v>144</v>
      </c>
      <c r="F2" s="10" t="s">
        <v>108</v>
      </c>
      <c r="G2" s="10" t="s">
        <v>109</v>
      </c>
      <c r="H2" s="10" t="s">
        <v>110</v>
      </c>
      <c r="I2" s="10" t="s">
        <v>111</v>
      </c>
      <c r="J2" s="10" t="s">
        <v>112</v>
      </c>
    </row>
    <row r="3" spans="1:10" ht="20" customHeight="1" x14ac:dyDescent="0.35">
      <c r="A3" s="2" t="s">
        <v>67</v>
      </c>
      <c r="B3" s="2" t="s">
        <v>5</v>
      </c>
      <c r="C3" s="2" t="s">
        <v>113</v>
      </c>
      <c r="D3" s="2" t="s">
        <v>114</v>
      </c>
      <c r="E3" s="18" t="s">
        <v>145</v>
      </c>
      <c r="F3" s="2" t="s">
        <v>115</v>
      </c>
      <c r="G3" s="2" t="s">
        <v>116</v>
      </c>
      <c r="H3" s="2" t="s">
        <v>9</v>
      </c>
      <c r="I3" s="2" t="s">
        <v>13</v>
      </c>
      <c r="J3" s="2" t="s">
        <v>117</v>
      </c>
    </row>
  </sheetData>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D6A4F"/>
  </sheetPr>
  <dimension ref="A1:H14"/>
  <sheetViews>
    <sheetView zoomScale="115" zoomScaleNormal="115" workbookViewId="0">
      <pane ySplit="2" topLeftCell="A3" activePane="bottomLeft" state="frozen"/>
      <selection pane="bottomLeft" activeCell="D21" sqref="D21"/>
    </sheetView>
  </sheetViews>
  <sheetFormatPr defaultRowHeight="14.5" x14ac:dyDescent="0.35"/>
  <cols>
    <col min="1" max="1" width="14" customWidth="1"/>
    <col min="2" max="2" width="18.7265625" bestFit="1" customWidth="1"/>
    <col min="3" max="3" width="18.7265625" customWidth="1"/>
    <col min="4" max="5" width="10" customWidth="1"/>
    <col min="6" max="6" width="32" customWidth="1"/>
    <col min="7" max="7" width="12" customWidth="1"/>
    <col min="8" max="9" width="33" customWidth="1"/>
  </cols>
  <sheetData>
    <row r="1" spans="1:8" ht="20" customHeight="1" x14ac:dyDescent="0.35">
      <c r="A1" s="15" t="s">
        <v>118</v>
      </c>
      <c r="B1" s="14"/>
      <c r="C1" s="14"/>
      <c r="D1" s="14"/>
      <c r="E1" s="14"/>
      <c r="F1" s="14"/>
      <c r="G1" s="14"/>
    </row>
    <row r="2" spans="1:8" ht="22" customHeight="1" x14ac:dyDescent="0.35">
      <c r="A2" s="10" t="s">
        <v>49</v>
      </c>
      <c r="B2" s="19" t="s">
        <v>146</v>
      </c>
      <c r="C2" s="10" t="s">
        <v>50</v>
      </c>
      <c r="D2" s="19" t="s">
        <v>52</v>
      </c>
      <c r="E2" s="19" t="s">
        <v>53</v>
      </c>
      <c r="F2" s="10" t="s">
        <v>56</v>
      </c>
      <c r="G2" s="10" t="s">
        <v>57</v>
      </c>
      <c r="H2" s="19" t="s">
        <v>58</v>
      </c>
    </row>
    <row r="3" spans="1:8" ht="18" customHeight="1" x14ac:dyDescent="0.35">
      <c r="A3" s="8" t="s">
        <v>67</v>
      </c>
      <c r="B3" s="21" t="s">
        <v>148</v>
      </c>
      <c r="C3" s="8">
        <v>2023</v>
      </c>
      <c r="D3" s="23">
        <v>37154.199999999997</v>
      </c>
      <c r="E3" s="23">
        <v>1000000000</v>
      </c>
      <c r="F3" s="2" t="s">
        <v>143</v>
      </c>
      <c r="G3" s="9">
        <v>163</v>
      </c>
      <c r="H3" s="2"/>
    </row>
    <row r="4" spans="1:8" ht="18" customHeight="1" x14ac:dyDescent="0.35">
      <c r="A4" s="8" t="s">
        <v>67</v>
      </c>
      <c r="B4" s="21" t="s">
        <v>148</v>
      </c>
      <c r="C4" s="8">
        <v>2024</v>
      </c>
      <c r="D4" s="23">
        <v>45095.3</v>
      </c>
      <c r="E4" s="23">
        <v>1000000000</v>
      </c>
      <c r="F4" s="3" t="s">
        <v>143</v>
      </c>
      <c r="G4" s="9">
        <v>163</v>
      </c>
      <c r="H4" s="3"/>
    </row>
    <row r="5" spans="1:8" ht="18" customHeight="1" x14ac:dyDescent="0.35">
      <c r="A5" s="8" t="s">
        <v>67</v>
      </c>
      <c r="B5" s="21" t="s">
        <v>148</v>
      </c>
      <c r="C5" s="8">
        <v>2025</v>
      </c>
      <c r="D5" s="23">
        <v>48036.7</v>
      </c>
      <c r="E5" s="23">
        <v>1000000000</v>
      </c>
      <c r="F5" s="18" t="s">
        <v>143</v>
      </c>
      <c r="G5" s="9">
        <v>163</v>
      </c>
      <c r="H5" s="18"/>
    </row>
    <row r="6" spans="1:8" x14ac:dyDescent="0.35">
      <c r="A6" s="8" t="s">
        <v>67</v>
      </c>
      <c r="B6" s="21" t="s">
        <v>147</v>
      </c>
      <c r="C6" s="8">
        <v>2023</v>
      </c>
      <c r="D6" s="23">
        <v>135</v>
      </c>
      <c r="E6" s="23">
        <v>1</v>
      </c>
      <c r="F6" s="18" t="s">
        <v>143</v>
      </c>
      <c r="G6" s="9">
        <v>163</v>
      </c>
      <c r="H6" s="18"/>
    </row>
    <row r="7" spans="1:8" x14ac:dyDescent="0.35">
      <c r="A7" s="8" t="s">
        <v>67</v>
      </c>
      <c r="B7" s="8" t="s">
        <v>147</v>
      </c>
      <c r="C7" s="8">
        <v>2024</v>
      </c>
      <c r="D7" s="23">
        <v>145</v>
      </c>
      <c r="E7" s="23">
        <v>1</v>
      </c>
      <c r="F7" s="18" t="s">
        <v>143</v>
      </c>
      <c r="G7" s="9">
        <v>163</v>
      </c>
      <c r="H7" s="18"/>
    </row>
    <row r="8" spans="1:8" x14ac:dyDescent="0.35">
      <c r="A8" s="8" t="s">
        <v>67</v>
      </c>
      <c r="B8" s="8" t="s">
        <v>147</v>
      </c>
      <c r="C8" s="8">
        <v>2025</v>
      </c>
      <c r="D8" s="23">
        <v>153</v>
      </c>
      <c r="E8" s="23">
        <v>1</v>
      </c>
      <c r="F8" s="18" t="s">
        <v>143</v>
      </c>
      <c r="G8" s="9">
        <v>163</v>
      </c>
      <c r="H8" s="18"/>
    </row>
    <row r="9" spans="1:8" x14ac:dyDescent="0.35">
      <c r="A9" s="8" t="s">
        <v>67</v>
      </c>
      <c r="B9" s="21" t="s">
        <v>119</v>
      </c>
      <c r="C9" s="8">
        <v>2023</v>
      </c>
      <c r="D9" s="24">
        <v>375235</v>
      </c>
      <c r="E9" s="23">
        <v>1</v>
      </c>
      <c r="F9" s="18" t="s">
        <v>151</v>
      </c>
      <c r="G9" s="9">
        <v>5</v>
      </c>
      <c r="H9" s="18"/>
    </row>
    <row r="10" spans="1:8" x14ac:dyDescent="0.35">
      <c r="A10" s="8" t="s">
        <v>67</v>
      </c>
      <c r="B10" s="8" t="s">
        <v>119</v>
      </c>
      <c r="C10" s="8">
        <v>2024</v>
      </c>
      <c r="D10" s="24">
        <v>380793</v>
      </c>
      <c r="E10" s="23">
        <v>1</v>
      </c>
      <c r="F10" s="18" t="s">
        <v>150</v>
      </c>
      <c r="G10" s="9">
        <v>5</v>
      </c>
      <c r="H10" s="18"/>
    </row>
    <row r="11" spans="1:8" x14ac:dyDescent="0.35">
      <c r="A11" s="8" t="s">
        <v>67</v>
      </c>
      <c r="B11" s="8" t="s">
        <v>119</v>
      </c>
      <c r="C11" s="8">
        <v>2025</v>
      </c>
      <c r="D11" s="24">
        <v>383853</v>
      </c>
      <c r="E11" s="23">
        <v>1</v>
      </c>
      <c r="F11" s="18" t="s">
        <v>13</v>
      </c>
      <c r="G11" s="9">
        <v>5</v>
      </c>
      <c r="H11" s="18"/>
    </row>
    <row r="12" spans="1:8" x14ac:dyDescent="0.35">
      <c r="A12" s="8" t="s">
        <v>67</v>
      </c>
      <c r="B12" s="22" t="s">
        <v>149</v>
      </c>
      <c r="C12" s="21">
        <v>2023</v>
      </c>
      <c r="D12" s="24">
        <v>8821872</v>
      </c>
      <c r="E12" s="23">
        <v>1</v>
      </c>
      <c r="F12" s="18" t="s">
        <v>151</v>
      </c>
      <c r="G12" s="9">
        <v>5</v>
      </c>
      <c r="H12" s="18"/>
    </row>
    <row r="13" spans="1:8" x14ac:dyDescent="0.35">
      <c r="A13" s="8" t="s">
        <v>67</v>
      </c>
      <c r="B13" s="22" t="s">
        <v>149</v>
      </c>
      <c r="C13" s="8">
        <v>2024</v>
      </c>
      <c r="D13" s="24">
        <v>9442770</v>
      </c>
      <c r="E13" s="25">
        <v>1</v>
      </c>
      <c r="F13" s="18" t="s">
        <v>150</v>
      </c>
      <c r="G13" s="9">
        <v>5</v>
      </c>
      <c r="H13" s="18"/>
    </row>
    <row r="14" spans="1:8" x14ac:dyDescent="0.35">
      <c r="A14" s="8" t="s">
        <v>67</v>
      </c>
      <c r="B14" s="22" t="s">
        <v>149</v>
      </c>
      <c r="C14" s="8">
        <v>2025</v>
      </c>
      <c r="D14" s="24">
        <v>9362410</v>
      </c>
      <c r="E14" s="23">
        <v>1</v>
      </c>
      <c r="F14" s="18" t="s">
        <v>13</v>
      </c>
      <c r="G14" s="9">
        <v>5</v>
      </c>
      <c r="H14" s="18"/>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D6A4F"/>
  </sheetPr>
  <dimension ref="A1:D8"/>
  <sheetViews>
    <sheetView workbookViewId="0">
      <pane ySplit="2" topLeftCell="A3" activePane="bottomLeft" state="frozen"/>
      <selection pane="bottomLeft" activeCell="D13" sqref="D13"/>
    </sheetView>
  </sheetViews>
  <sheetFormatPr defaultRowHeight="14.5" x14ac:dyDescent="0.35"/>
  <cols>
    <col min="1" max="1" width="24" customWidth="1"/>
    <col min="2" max="2" width="22" customWidth="1"/>
    <col min="3" max="3" width="18" customWidth="1"/>
    <col min="4" max="4" width="58" customWidth="1"/>
  </cols>
  <sheetData>
    <row r="1" spans="1:4" ht="20" customHeight="1" x14ac:dyDescent="0.35">
      <c r="A1" s="15" t="s">
        <v>120</v>
      </c>
      <c r="B1" s="14"/>
      <c r="C1" s="14"/>
      <c r="D1" s="14"/>
    </row>
    <row r="2" spans="1:4" ht="22" customHeight="1" x14ac:dyDescent="0.35">
      <c r="A2" s="10" t="s">
        <v>53</v>
      </c>
      <c r="B2" s="10" t="s">
        <v>121</v>
      </c>
      <c r="C2" s="10" t="s">
        <v>122</v>
      </c>
      <c r="D2" s="10" t="s">
        <v>58</v>
      </c>
    </row>
    <row r="3" spans="1:4" ht="18" customHeight="1" x14ac:dyDescent="0.35">
      <c r="A3" s="2" t="s">
        <v>69</v>
      </c>
      <c r="B3" s="2" t="s">
        <v>69</v>
      </c>
      <c r="C3" s="11">
        <v>1</v>
      </c>
      <c r="D3" s="2" t="s">
        <v>123</v>
      </c>
    </row>
    <row r="4" spans="1:4" ht="18" customHeight="1" x14ac:dyDescent="0.35">
      <c r="A4" s="3" t="s">
        <v>124</v>
      </c>
      <c r="B4" s="3" t="s">
        <v>69</v>
      </c>
      <c r="C4" s="12">
        <v>1E-3</v>
      </c>
      <c r="D4" s="3" t="s">
        <v>125</v>
      </c>
    </row>
    <row r="5" spans="1:4" ht="18" customHeight="1" x14ac:dyDescent="0.35">
      <c r="A5" s="2" t="s">
        <v>126</v>
      </c>
      <c r="B5" s="2" t="s">
        <v>69</v>
      </c>
      <c r="C5" s="11">
        <v>1E-3</v>
      </c>
      <c r="D5" s="2" t="s">
        <v>127</v>
      </c>
    </row>
    <row r="6" spans="1:4" ht="18" customHeight="1" x14ac:dyDescent="0.35">
      <c r="A6" s="3" t="s">
        <v>128</v>
      </c>
      <c r="B6" s="3" t="s">
        <v>69</v>
      </c>
      <c r="C6" s="12">
        <v>9.9999999999999995E-7</v>
      </c>
      <c r="D6" s="3" t="s">
        <v>129</v>
      </c>
    </row>
    <row r="7" spans="1:4" ht="18" customHeight="1" x14ac:dyDescent="0.35">
      <c r="A7" s="2" t="s">
        <v>130</v>
      </c>
      <c r="B7" s="2" t="s">
        <v>69</v>
      </c>
      <c r="C7" s="11">
        <v>1</v>
      </c>
      <c r="D7" s="2" t="s">
        <v>131</v>
      </c>
    </row>
    <row r="8" spans="1:4" ht="18" customHeight="1" x14ac:dyDescent="0.35">
      <c r="A8" s="3" t="s">
        <v>132</v>
      </c>
      <c r="B8" s="3" t="s">
        <v>69</v>
      </c>
      <c r="C8" s="12">
        <v>1E-3</v>
      </c>
      <c r="D8" s="3" t="s">
        <v>133</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fact_emissions</vt:lpstr>
      <vt:lpstr>fact_scope3</vt:lpstr>
      <vt:lpstr>dim_company</vt:lpstr>
      <vt:lpstr>dim_financials</vt:lpstr>
      <vt:lpstr>dim_units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Serious Smith</cp:lastModifiedBy>
  <dcterms:created xsi:type="dcterms:W3CDTF">2026-05-12T07:01:28Z</dcterms:created>
  <dcterms:modified xsi:type="dcterms:W3CDTF">2026-05-12T16:17:03Z</dcterms:modified>
</cp:coreProperties>
</file>